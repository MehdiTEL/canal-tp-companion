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Organisation" sheetId="1" state="visible" r:id="rId1"/>
    <sheet xmlns:r="http://schemas.openxmlformats.org/officeDocument/2006/relationships" name="Budget" sheetId="2" state="visible" r:id="rId2"/>
  </sheets>
  <definedNames>
    <definedName name="_xlnm._FilterDatabase" localSheetId="0" hidden="1">'Checklist Organisation'!$A$1:$H$32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EUR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E40AF"/>
      <sz val="10"/>
    </font>
    <font>
      <name val="Arial"/>
      <b val="1"/>
      <color rgb="00334155"/>
      <sz val="9"/>
    </font>
    <font>
      <name val="Arial"/>
      <color rgb="00334155"/>
      <sz val="9"/>
    </font>
    <font>
      <name val="Arial"/>
      <b val="1"/>
      <color rgb="0092400E"/>
      <sz val="10"/>
    </font>
  </fonts>
  <fills count="6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FEF3C7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0" fillId="0" borderId="3" pivotButton="0" quotePrefix="0" xfId="0"/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top" wrapText="1"/>
    </xf>
    <xf numFmtId="0" fontId="0" fillId="0" borderId="4" pivotButton="0" quotePrefix="0" xfId="0"/>
    <xf numFmtId="164" fontId="4" fillId="0" borderId="1" applyAlignment="1" pivotButton="0" quotePrefix="0" xfId="0">
      <alignment horizontal="center" vertical="top" wrapText="1"/>
    </xf>
    <xf numFmtId="164" fontId="4" fillId="0" borderId="1" applyAlignment="1" pivotButton="0" quotePrefix="0" xfId="0">
      <alignment vertical="top" wrapText="1"/>
    </xf>
    <xf numFmtId="164" fontId="4" fillId="4" borderId="1" applyAlignment="1" pivotButton="0" quotePrefix="0" xfId="0">
      <alignment horizontal="center" vertical="top" wrapText="1"/>
    </xf>
    <xf numFmtId="164" fontId="4" fillId="4" borderId="1" applyAlignment="1" pivotButton="0" quotePrefix="0" xfId="0">
      <alignment vertical="top" wrapText="1"/>
    </xf>
    <xf numFmtId="0" fontId="5" fillId="5" borderId="1" pivotButton="0" quotePrefix="0" xfId="0"/>
    <xf numFmtId="164" fontId="5" fillId="5" borderId="1" applyAlignment="1" pivotButton="0" quotePrefix="0" xfId="0">
      <alignment horizontal="center" vertical="top" wrapText="1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35" customWidth="1" min="3" max="3"/>
    <col width="55" customWidth="1" min="4" max="4"/>
    <col width="20" customWidth="1" min="5" max="5"/>
    <col width="15" customWidth="1" min="6" max="6"/>
    <col width="12" customWidth="1" min="7" max="7"/>
    <col width="30" customWidth="1" min="8" max="8"/>
  </cols>
  <sheetData>
    <row r="1">
      <c r="A1" s="1" t="inlineStr">
        <is>
          <t>Categorie</t>
        </is>
      </c>
      <c r="B1" s="1" t="inlineStr">
        <is>
          <t>N</t>
        </is>
      </c>
      <c r="C1" s="1" t="inlineStr">
        <is>
          <t>Tache</t>
        </is>
      </c>
      <c r="D1" s="1" t="inlineStr">
        <is>
          <t>Description detaillee</t>
        </is>
      </c>
      <c r="E1" s="1" t="inlineStr">
        <is>
          <t>Responsable</t>
        </is>
      </c>
      <c r="F1" s="1" t="inlineStr">
        <is>
          <t>Deadline</t>
        </is>
      </c>
      <c r="G1" s="1" t="inlineStr">
        <is>
          <t>Statut</t>
        </is>
      </c>
      <c r="H1" s="1" t="inlineStr">
        <is>
          <t>Commentaires</t>
        </is>
      </c>
    </row>
    <row r="2">
      <c r="A2" s="2" t="inlineStr">
        <is>
          <t>LOGISTIQUE</t>
        </is>
      </c>
      <c r="B2" s="3" t="n">
        <v>1</v>
      </c>
      <c r="C2" s="4" t="inlineStr">
        <is>
          <t>Reserver le rooftop Canal+</t>
        </is>
      </c>
      <c r="D2" s="5" t="inlineStr">
        <is>
          <t>Confirmer la disponibilite, la capacite (180 pers.) et les horaires (16h-00h). Verifier l'accessibilite PMR et les issues de secours.</t>
        </is>
      </c>
      <c r="E2" s="5" t="inlineStr">
        <is>
          <t>Office Manager</t>
        </is>
      </c>
      <c r="F2" s="5" t="inlineStr">
        <is>
          <t>15 avril</t>
        </is>
      </c>
      <c r="G2" s="6" t="inlineStr">
        <is>
          <t>A faire</t>
        </is>
      </c>
      <c r="H2" s="5" t="inlineStr"/>
    </row>
    <row r="3">
      <c r="A3" s="7" t="n"/>
      <c r="B3" s="8" t="n">
        <v>2</v>
      </c>
      <c r="C3" s="9" t="inlineStr">
        <is>
          <t>Commander le mobilier complementaire</t>
        </is>
      </c>
      <c r="D3" s="10" t="inlineStr">
        <is>
          <t>Mange-debout x15, fauteuils lounge x8, tables hautes x6, nappes noires. Demander devis a 2 fournisseurs minimum.</t>
        </is>
      </c>
      <c r="E3" s="10" t="inlineStr">
        <is>
          <t>Logistique</t>
        </is>
      </c>
      <c r="F3" s="10" t="inlineStr">
        <is>
          <t>1er mai</t>
        </is>
      </c>
      <c r="G3" s="11" t="inlineStr">
        <is>
          <t>A faire</t>
        </is>
      </c>
      <c r="H3" s="10" t="inlineStr"/>
    </row>
    <row r="4">
      <c r="A4" s="7" t="n"/>
      <c r="B4" s="3" t="n">
        <v>3</v>
      </c>
      <c r="C4" s="4" t="inlineStr">
        <is>
          <t>Organiser la decoration</t>
        </is>
      </c>
      <c r="D4" s="5" t="inlineStr">
        <is>
          <t>Affiches STUDIOCANAL grand format x8, clap de cinema geant (entree), bobines de film en centres de table x15, guirlandes lumineuses blanc chaud (terrasse 30m)</t>
        </is>
      </c>
      <c r="E4" s="5" t="inlineStr">
        <is>
          <t>Com. Interne</t>
        </is>
      </c>
      <c r="F4" s="5" t="inlineStr">
        <is>
          <t>10 mai</t>
        </is>
      </c>
      <c r="G4" s="6" t="inlineStr">
        <is>
          <t>A faire</t>
        </is>
      </c>
      <c r="H4" s="5" t="inlineStr"/>
    </row>
    <row r="5">
      <c r="A5" s="7" t="n"/>
      <c r="B5" s="8" t="n">
        <v>4</v>
      </c>
      <c r="C5" s="9" t="inlineStr">
        <is>
          <t>Installer la signaletique</t>
        </is>
      </c>
      <c r="D5" s="10" t="inlineStr">
        <is>
          <t>Fleches directionnelles (parking &gt; ascenseur &gt; rooftop), plan de la soiree a l'accueil, panneau droit a l'image RGPD, panneau eco-responsable</t>
        </is>
      </c>
      <c r="E5" s="10" t="inlineStr">
        <is>
          <t>Logistique</t>
        </is>
      </c>
      <c r="F5" s="10" t="inlineStr">
        <is>
          <t>15 mai matin</t>
        </is>
      </c>
      <c r="G5" s="11" t="inlineStr">
        <is>
          <t>A faire</t>
        </is>
      </c>
      <c r="H5" s="10" t="inlineStr"/>
    </row>
    <row r="6">
      <c r="A6" s="7" t="n"/>
      <c r="B6" s="3" t="n">
        <v>5</v>
      </c>
      <c r="C6" s="4" t="inlineStr">
        <is>
          <t>Verifier l'accessibilite PMR</t>
        </is>
      </c>
      <c r="D6" s="5" t="inlineStr">
        <is>
          <t>Rampe d'acces, ascenseur fonctionnel, 3 places assises reservees, signaletique adaptee (gros caracteres + pictogrammes)</t>
        </is>
      </c>
      <c r="E6" s="5" t="inlineStr">
        <is>
          <t>Logistique</t>
        </is>
      </c>
      <c r="F6" s="5" t="inlineStr">
        <is>
          <t>1er mai</t>
        </is>
      </c>
      <c r="G6" s="6" t="inlineStr">
        <is>
          <t>A faire</t>
        </is>
      </c>
      <c r="H6" s="5" t="inlineStr"/>
    </row>
    <row r="7">
      <c r="A7" s="7" t="n"/>
      <c r="B7" s="8" t="n">
        <v>6</v>
      </c>
      <c r="C7" s="9" t="inlineStr">
        <is>
          <t>Organiser le parking</t>
        </is>
      </c>
      <c r="D7" s="10" t="inlineStr">
        <is>
          <t>Communiquer infos parking (50 places, 1er arrive 1er servi) dans le mail d'invitation. Prevoir signaletique parking &gt; rooftop.</t>
        </is>
      </c>
      <c r="E7" s="10" t="inlineStr">
        <is>
          <t>Logistique</t>
        </is>
      </c>
      <c r="F7" s="10" t="inlineStr">
        <is>
          <t>8 mai</t>
        </is>
      </c>
      <c r="G7" s="11" t="inlineStr">
        <is>
          <t>A faire</t>
        </is>
      </c>
      <c r="H7" s="10" t="inlineStr"/>
    </row>
    <row r="8">
      <c r="A8" s="7" t="n"/>
      <c r="B8" s="3" t="n">
        <v>7</v>
      </c>
      <c r="C8" s="4" t="inlineStr">
        <is>
          <t>Installer le vestiaire</t>
        </is>
      </c>
      <c r="D8" s="5" t="inlineStr">
        <is>
          <t>Espace vestiaire avec 3 portants, tickets numerotes, 1 personne dediee de 19h a 23h30</t>
        </is>
      </c>
      <c r="E8" s="5" t="inlineStr">
        <is>
          <t>Logistique</t>
        </is>
      </c>
      <c r="F8" s="5" t="inlineStr">
        <is>
          <t>14 mai</t>
        </is>
      </c>
      <c r="G8" s="6" t="inlineStr">
        <is>
          <t>A faire</t>
        </is>
      </c>
      <c r="H8" s="5" t="inlineStr"/>
    </row>
    <row r="9">
      <c r="A9" s="12" t="n"/>
      <c r="B9" s="8" t="n">
        <v>8</v>
      </c>
      <c r="C9" s="9" t="inlineStr">
        <is>
          <t>Creer le plan d'installation</t>
        </is>
      </c>
      <c r="D9" s="10" t="inlineStr">
        <is>
          <t>Plan au sol detaille : zone cocktail, zone buffet, scene/ecran, photocall, terrasse, vestiaire, toilettes. Valider avec les prestataires.</t>
        </is>
      </c>
      <c r="E9" s="10" t="inlineStr">
        <is>
          <t>Chef de projet</t>
        </is>
      </c>
      <c r="F9" s="10" t="inlineStr">
        <is>
          <t>24 avril</t>
        </is>
      </c>
      <c r="G9" s="11" t="inlineStr">
        <is>
          <t>A faire</t>
        </is>
      </c>
      <c r="H9" s="10" t="inlineStr"/>
    </row>
    <row r="10">
      <c r="A10" s="2" t="inlineStr">
        <is>
          <t>TRAITEUR</t>
        </is>
      </c>
      <c r="B10" s="3" t="n">
        <v>9</v>
      </c>
      <c r="C10" s="4" t="inlineStr">
        <is>
          <t>Selectionner le traiteur</t>
        </is>
      </c>
      <c r="D10" s="5" t="inlineStr">
        <is>
          <t>Demander 3 devis comparatifs. Criteres : experience evenementiel corporate, references Canal+/media, capacite 120 pers., options dietetiques. Prevoir degustation.</t>
        </is>
      </c>
      <c r="E10" s="5" t="inlineStr">
        <is>
          <t>Chef de projet</t>
        </is>
      </c>
      <c r="F10" s="5" t="inlineStr">
        <is>
          <t>24 avril</t>
        </is>
      </c>
      <c r="G10" s="6" t="inlineStr">
        <is>
          <t>A faire</t>
        </is>
      </c>
      <c r="H10" s="5" t="inlineStr"/>
    </row>
    <row r="11">
      <c r="A11" s="7" t="n"/>
      <c r="B11" s="8" t="n">
        <v>10</v>
      </c>
      <c r="C11" s="9" t="inlineStr">
        <is>
          <t>Valider le menu cocktail</t>
        </is>
      </c>
      <c r="D11" s="10" t="inlineStr">
        <is>
          <t>4 pieces cocktail minimum (dont 2 vegetariennes) : mini-verrines, amuse-bouches premium, crudites, pieces sucrees. Presentation soignee.</t>
        </is>
      </c>
      <c r="E11" s="10" t="inlineStr">
        <is>
          <t>Traiteur</t>
        </is>
      </c>
      <c r="F11" s="10" t="inlineStr">
        <is>
          <t>1er mai</t>
        </is>
      </c>
      <c r="G11" s="11" t="inlineStr">
        <is>
          <t>A faire</t>
        </is>
      </c>
      <c r="H11" s="10" t="inlineStr"/>
    </row>
    <row r="12">
      <c r="A12" s="7" t="n"/>
      <c r="B12" s="3" t="n">
        <v>11</v>
      </c>
      <c r="C12" s="4" t="inlineStr">
        <is>
          <t>Valider le buffet dinatoire</t>
        </is>
      </c>
      <c r="D12" s="5" t="inlineStr">
        <is>
          <t>Buffet chaud + froid. Options obligatoires : vegetarien, vegan, sans gluten, halal. Etiquetage clair de chaque plat avec liste des 14 allergenes.</t>
        </is>
      </c>
      <c r="E12" s="5" t="inlineStr">
        <is>
          <t>Traiteur</t>
        </is>
      </c>
      <c r="F12" s="5" t="inlineStr">
        <is>
          <t>1er mai</t>
        </is>
      </c>
      <c r="G12" s="6" t="inlineStr">
        <is>
          <t>A faire</t>
        </is>
      </c>
      <c r="H12" s="5" t="inlineStr"/>
    </row>
    <row r="13">
      <c r="A13" s="7" t="n"/>
      <c r="B13" s="8" t="n">
        <v>12</v>
      </c>
      <c r="C13" s="9" t="inlineStr">
        <is>
          <t>Commander les boissons</t>
        </is>
      </c>
      <c r="D13" s="10" t="inlineStr">
        <is>
          <t>2 cocktails signatures (1 avec alcool 'Le STUDIOCANAL', 1 sans alcool 'Le Stories'). Champagne, 2 vins (rouge/blanc), bieres artisanales, softs varies, eau plate/gazeuse.</t>
        </is>
      </c>
      <c r="E13" s="10" t="inlineStr">
        <is>
          <t>Traiteur</t>
        </is>
      </c>
      <c r="F13" s="10" t="inlineStr">
        <is>
          <t>5 mai</t>
        </is>
      </c>
      <c r="G13" s="11" t="inlineStr">
        <is>
          <t>A faire</t>
        </is>
      </c>
      <c r="H13" s="10" t="inlineStr"/>
    </row>
    <row r="14">
      <c r="A14" s="7" t="n"/>
      <c r="B14" s="3" t="n">
        <v>13</v>
      </c>
      <c r="C14" s="4" t="inlineStr">
        <is>
          <t>Confirmer les effectifs service</t>
        </is>
      </c>
      <c r="D14" s="5" t="inlineStr">
        <is>
          <t>6 serveurs minimum pour 120 convives. 1 chef de rang. 1 barman pour le bar a cocktails. Briefing equipe a 18h le jour J.</t>
        </is>
      </c>
      <c r="E14" s="5" t="inlineStr">
        <is>
          <t>Traiteur</t>
        </is>
      </c>
      <c r="F14" s="5" t="inlineStr">
        <is>
          <t>8 mai</t>
        </is>
      </c>
      <c r="G14" s="6" t="inlineStr">
        <is>
          <t>A faire</t>
        </is>
      </c>
      <c r="H14" s="5" t="inlineStr"/>
    </row>
    <row r="15">
      <c r="A15" s="12" t="n"/>
      <c r="B15" s="8" t="n">
        <v>14</v>
      </c>
      <c r="C15" s="9" t="inlineStr">
        <is>
          <t>Vaisselle eco-responsable</t>
        </is>
      </c>
      <c r="D15" s="10" t="inlineStr">
        <is>
          <t>Vaisselle reutilisable ou compostable. Zero plastique jetable. Prevoir 3 poubelles tri selectif (verre/organique/recyclable) avec signaletique claire.</t>
        </is>
      </c>
      <c r="E15" s="10" t="inlineStr">
        <is>
          <t>Traiteur</t>
        </is>
      </c>
      <c r="F15" s="10" t="inlineStr">
        <is>
          <t>1er mai</t>
        </is>
      </c>
      <c r="G15" s="11" t="inlineStr">
        <is>
          <t>A faire</t>
        </is>
      </c>
      <c r="H15" s="10" t="inlineStr"/>
    </row>
    <row r="16">
      <c r="A16" s="2" t="inlineStr">
        <is>
          <t>TECHNIQUE</t>
        </is>
      </c>
      <c r="B16" s="3" t="n">
        <v>15</v>
      </c>
      <c r="C16" s="4" t="inlineStr">
        <is>
          <t>Installer le systeme son</t>
        </is>
      </c>
      <c r="D16" s="5" t="inlineStr">
        <is>
          <t>Sono facade 2x500W + 2 retours pour DJ. 2 micros HF (speeches). Table de mixage. Test niveaux sonores avec sonometre. Volume max 85dB apres 22h.</t>
        </is>
      </c>
      <c r="E16" s="5" t="inlineStr">
        <is>
          <t>Marc Lefevre</t>
        </is>
      </c>
      <c r="F16" s="5" t="inlineStr">
        <is>
          <t>15 mai 14h</t>
        </is>
      </c>
      <c r="G16" s="6" t="inlineStr">
        <is>
          <t>A faire</t>
        </is>
      </c>
      <c r="H16" s="5" t="inlineStr"/>
    </row>
    <row r="17">
      <c r="A17" s="7" t="n"/>
      <c r="B17" s="8" t="n">
        <v>16</v>
      </c>
      <c r="C17" s="9" t="inlineStr">
        <is>
          <t>Installer la video-projection</t>
        </is>
      </c>
      <c r="D17" s="10" t="inlineStr">
        <is>
          <t>Videoprojecteur 4K (min. 5000 lumens), ecran 3m x 1.7m, cablage HDMI 10m, backup : cle USB avec tous les contenus en H.264.</t>
        </is>
      </c>
      <c r="E17" s="10" t="inlineStr">
        <is>
          <t>Marc Lefevre</t>
        </is>
      </c>
      <c r="F17" s="10" t="inlineStr">
        <is>
          <t>14 mai</t>
        </is>
      </c>
      <c r="G17" s="11" t="inlineStr">
        <is>
          <t>A faire</t>
        </is>
      </c>
      <c r="H17" s="10" t="inlineStr"/>
    </row>
    <row r="18">
      <c r="A18" s="7" t="n"/>
      <c r="B18" s="3" t="n">
        <v>17</v>
      </c>
      <c r="C18" s="4" t="inlineStr">
        <is>
          <t>Recuperer les contenus video</t>
        </is>
      </c>
      <c r="D18" s="5" t="inlineStr">
        <is>
          <t>Contacter Julie Moreau (STUDIOCANAL) : 3 teasers + bande-annonce + montage best-of. Format ProRes 422 ou H.264 4K. Deadline livraison : 10 mai.</t>
        </is>
      </c>
      <c r="E18" s="5" t="inlineStr">
        <is>
          <t>Marc Lefevre</t>
        </is>
      </c>
      <c r="F18" s="5" t="inlineStr">
        <is>
          <t>10 mai</t>
        </is>
      </c>
      <c r="G18" s="6" t="inlineStr">
        <is>
          <t>A faire</t>
        </is>
      </c>
      <c r="H18" s="5" t="inlineStr"/>
    </row>
    <row r="19">
      <c r="A19" s="7" t="n"/>
      <c r="B19" s="8" t="n">
        <v>18</v>
      </c>
      <c r="C19" s="9" t="inlineStr">
        <is>
          <t>Installer l'eclairage d'ambiance</t>
        </is>
      </c>
      <c r="D19" s="10" t="inlineStr">
        <is>
          <t>Projecteurs cinema vintage x4 (deco), guirlandes blanc chaud terrasse (30m), spots LED sur affiches x8, eclairage photocall (2 softbox), uplights ambre x6.</t>
        </is>
      </c>
      <c r="E19" s="10" t="inlineStr">
        <is>
          <t>Marc Lefevre</t>
        </is>
      </c>
      <c r="F19" s="10" t="inlineStr">
        <is>
          <t>15 mai 14h</t>
        </is>
      </c>
      <c r="G19" s="11" t="inlineStr">
        <is>
          <t>A faire</t>
        </is>
      </c>
      <c r="H19" s="10" t="inlineStr"/>
    </row>
    <row r="20">
      <c r="A20" s="7" t="n"/>
      <c r="B20" s="3" t="n">
        <v>19</v>
      </c>
      <c r="C20" s="4" t="inlineStr">
        <is>
          <t>Repetition generale technique</t>
        </is>
      </c>
      <c r="D20" s="5" t="inlineStr">
        <is>
          <t>Test complet son + video + eclairage. Simuler le deroule (enchainement des videos, transitions, niveaux micro). Prevoir 2h minimum.</t>
        </is>
      </c>
      <c r="E20" s="5" t="inlineStr">
        <is>
          <t>Marc Lefevre</t>
        </is>
      </c>
      <c r="F20" s="5" t="inlineStr">
        <is>
          <t>14 mai soir</t>
        </is>
      </c>
      <c r="G20" s="6" t="inlineStr">
        <is>
          <t>A faire</t>
        </is>
      </c>
      <c r="H20" s="5" t="inlineStr"/>
    </row>
    <row r="21">
      <c r="A21" s="7" t="n"/>
      <c r="B21" s="8" t="n">
        <v>20</v>
      </c>
      <c r="C21" s="9" t="inlineStr">
        <is>
          <t>Configurer le sonometre</t>
        </is>
      </c>
      <c r="D21" s="10" t="inlineStr">
        <is>
          <t>Installation sonometre fixe pres de la sono. Briefer le DJ sur la limite 85dB apres 22h. Prevoir alerte visuelle si depassement.</t>
        </is>
      </c>
      <c r="E21" s="10" t="inlineStr">
        <is>
          <t>Marc Lefevre</t>
        </is>
      </c>
      <c r="F21" s="10" t="inlineStr">
        <is>
          <t>15 mai</t>
        </is>
      </c>
      <c r="G21" s="11" t="inlineStr">
        <is>
          <t>A faire</t>
        </is>
      </c>
      <c r="H21" s="10" t="inlineStr"/>
    </row>
    <row r="22">
      <c r="A22" s="12" t="n"/>
      <c r="B22" s="3" t="n">
        <v>21</v>
      </c>
      <c r="C22" s="4" t="inlineStr">
        <is>
          <t>Preparer le backup technique</t>
        </is>
      </c>
      <c r="D22" s="5" t="inlineStr">
        <is>
          <t>Micro de secours, cables HDMI/XLR de rechange, laptop de backup avec tous les contenus charges, multiprise parafoudre x2.</t>
        </is>
      </c>
      <c r="E22" s="5" t="inlineStr">
        <is>
          <t>Marc Lefevre</t>
        </is>
      </c>
      <c r="F22" s="5" t="inlineStr">
        <is>
          <t>14 mai</t>
        </is>
      </c>
      <c r="G22" s="6" t="inlineStr">
        <is>
          <t>A faire</t>
        </is>
      </c>
      <c r="H22" s="5" t="inlineStr"/>
    </row>
    <row r="23">
      <c r="A23" s="2" t="inlineStr">
        <is>
          <t>COMMUNICATION</t>
        </is>
      </c>
      <c r="B23" s="8" t="n">
        <v>22</v>
      </c>
      <c r="C23" s="9" t="inlineStr">
        <is>
          <t>Rediger le mail d'invitation</t>
        </is>
      </c>
      <c r="D23" s="10" t="inlineStr">
        <is>
          <t>Mail engageant : objet accrocheur, intro captivante (3 lignes), programme synthetique, infos pratiques (date/lieu/horaire/dress code/parking), CTA confirmation. Ton : premium mais chaleureux. Max 200 mots.</t>
        </is>
      </c>
      <c r="E23" s="10" t="inlineStr">
        <is>
          <t>Com. Interne</t>
        </is>
      </c>
      <c r="F23" s="10" t="inlineStr">
        <is>
          <t>15 avril</t>
        </is>
      </c>
      <c r="G23" s="11" t="inlineStr">
        <is>
          <t>A faire</t>
        </is>
      </c>
      <c r="H23" s="10" t="inlineStr"/>
    </row>
    <row r="24">
      <c r="A24" s="7" t="n"/>
      <c r="B24" s="3" t="n">
        <v>23</v>
      </c>
      <c r="C24" s="4" t="inlineStr">
        <is>
          <t>Envoyer les invitations</t>
        </is>
      </c>
      <c r="D24" s="5" t="inlineStr">
        <is>
          <t>Envoi mail a la liste de diffusion 'Tous collaborateurs'. Post miroir sur l'intranet Canal+. Notification Teams dans les channels generaux.</t>
        </is>
      </c>
      <c r="E24" s="5" t="inlineStr">
        <is>
          <t>Com. Interne</t>
        </is>
      </c>
      <c r="F24" s="5" t="inlineStr">
        <is>
          <t>15 avril</t>
        </is>
      </c>
      <c r="G24" s="6" t="inlineStr">
        <is>
          <t>A faire</t>
        </is>
      </c>
      <c r="H24" s="5" t="inlineStr"/>
    </row>
    <row r="25">
      <c r="A25" s="7" t="n"/>
      <c r="B25" s="8" t="n">
        <v>24</v>
      </c>
      <c r="C25" s="9" t="inlineStr">
        <is>
          <t>Relancer les non-repondants</t>
        </is>
      </c>
      <c r="D25" s="10" t="inlineStr">
        <is>
          <t>Mail de relance personnalise J-7. Message Teams individuel pour les managers. Objectif : 90% de taux de reponse avant le 12 mai.</t>
        </is>
      </c>
      <c r="E25" s="10" t="inlineStr">
        <is>
          <t>Com. Interne</t>
        </is>
      </c>
      <c r="F25" s="10" t="inlineStr">
        <is>
          <t>8 mai</t>
        </is>
      </c>
      <c r="G25" s="11" t="inlineStr">
        <is>
          <t>A faire</t>
        </is>
      </c>
      <c r="H25" s="10" t="inlineStr"/>
    </row>
    <row r="26">
      <c r="A26" s="7" t="n"/>
      <c r="B26" s="3" t="n">
        <v>25</v>
      </c>
      <c r="C26" s="4" t="inlineStr">
        <is>
          <t>Preparer le photocall</t>
        </is>
      </c>
      <c r="D26" s="5" t="inlineStr">
        <is>
          <t>Mur 3m x 2.5m fond noir mat. Logo STUDIOCANAL STORIES en lettrage dore (80cm). 2 softbox eclairage studio. Props : clap cinema, bobine, megaphone vintage, chapeau de realisateur.</t>
        </is>
      </c>
      <c r="E26" s="5" t="inlineStr">
        <is>
          <t>Com. Interne</t>
        </is>
      </c>
      <c r="F26" s="5" t="inlineStr">
        <is>
          <t>12 mai</t>
        </is>
      </c>
      <c r="G26" s="6" t="inlineStr">
        <is>
          <t>A faire</t>
        </is>
      </c>
      <c r="H26" s="5" t="inlineStr"/>
    </row>
    <row r="27">
      <c r="A27" s="7" t="n"/>
      <c r="B27" s="8" t="n">
        <v>26</v>
      </c>
      <c r="C27" s="9" t="inlineStr">
        <is>
          <t>Briefer le photographe/videaste</t>
        </is>
      </c>
      <c r="D27" s="10" t="inlineStr">
        <is>
          <t>Brief detaille : moments cles a capturer (accueil, speeches, projections, reactions, photocall, ambiance). Livraison : 50 photos editees + video recap 2 min sous 48h.</t>
        </is>
      </c>
      <c r="E27" s="10" t="inlineStr">
        <is>
          <t>Com. Interne</t>
        </is>
      </c>
      <c r="F27" s="10" t="inlineStr">
        <is>
          <t>12 mai</t>
        </is>
      </c>
      <c r="G27" s="11" t="inlineStr">
        <is>
          <t>A faire</t>
        </is>
      </c>
      <c r="H27" s="10" t="inlineStr"/>
    </row>
    <row r="28">
      <c r="A28" s="12" t="n"/>
      <c r="B28" s="3" t="n">
        <v>27</v>
      </c>
      <c r="C28" s="4" t="inlineStr">
        <is>
          <t>Preparer la communication post-event</t>
        </is>
      </c>
      <c r="D28" s="5" t="inlineStr">
        <is>
          <t>Template article intranet pre-redige. Selection de 20 photos best-of. Montage video recap 2 min. Mail de remerciement avec lien galerie photo. Deadline : J+3.</t>
        </is>
      </c>
      <c r="E28" s="5" t="inlineStr">
        <is>
          <t>Com. Interne</t>
        </is>
      </c>
      <c r="F28" s="5" t="inlineStr">
        <is>
          <t>16 mai</t>
        </is>
      </c>
      <c r="G28" s="6" t="inlineStr">
        <is>
          <t>A faire</t>
        </is>
      </c>
      <c r="H28" s="5" t="inlineStr"/>
    </row>
    <row r="29">
      <c r="A29" s="2" t="inlineStr">
        <is>
          <t>SECURITE &amp; PLAN B</t>
        </is>
      </c>
      <c r="B29" s="8" t="n">
        <v>28</v>
      </c>
      <c r="C29" s="9" t="inlineStr">
        <is>
          <t>Engager l'agent de securite</t>
        </is>
      </c>
      <c r="D29" s="10" t="inlineStr">
        <is>
          <t>1 agent SSIAP de 21h a 23h30. Verifier licence professionnelle et assurance RC. Briefing a 20h30 le jour J (sorties de secours, procedure evacuation).</t>
        </is>
      </c>
      <c r="E29" s="10" t="inlineStr">
        <is>
          <t>Chef de projet</t>
        </is>
      </c>
      <c r="F29" s="10" t="inlineStr">
        <is>
          <t>1er mai</t>
        </is>
      </c>
      <c r="G29" s="11" t="inlineStr">
        <is>
          <t>A faire</t>
        </is>
      </c>
      <c r="H29" s="10" t="inlineStr"/>
    </row>
    <row r="30">
      <c r="A30" s="7" t="n"/>
      <c r="B30" s="3" t="n">
        <v>29</v>
      </c>
      <c r="C30" s="4" t="inlineStr">
        <is>
          <t>Preparer le plan B meteo</t>
        </is>
      </c>
      <c r="D30" s="5" t="inlineStr">
        <is>
          <t>Configuration de repli : tout l'espace couvert (120m2) pour 120 personnes debout. Deplacer buffet et bar a l'interieur. Prevoir 20 parapluies noirs Canal+.</t>
        </is>
      </c>
      <c r="E30" s="5" t="inlineStr">
        <is>
          <t>Logistique</t>
        </is>
      </c>
      <c r="F30" s="5" t="inlineStr">
        <is>
          <t>10 mai</t>
        </is>
      </c>
      <c r="G30" s="6" t="inlineStr">
        <is>
          <t>A faire</t>
        </is>
      </c>
      <c r="H30" s="5" t="inlineStr"/>
    </row>
    <row r="31">
      <c r="A31" s="7" t="n"/>
      <c r="B31" s="8" t="n">
        <v>30</v>
      </c>
      <c r="C31" s="9" t="inlineStr">
        <is>
          <t>Prevoir la marge traiteur</t>
        </is>
      </c>
      <c r="D31" s="10" t="inlineStr">
        <is>
          <t>Commander +10% de nourriture et +15% de boissons. Prevoir des unites supplementaires congelees pour reapprovisionnement rapide si necessaire.</t>
        </is>
      </c>
      <c r="E31" s="10" t="inlineStr">
        <is>
          <t>Traiteur</t>
        </is>
      </c>
      <c r="F31" s="10" t="inlineStr">
        <is>
          <t>13 mai</t>
        </is>
      </c>
      <c r="G31" s="11" t="inlineStr">
        <is>
          <t>A faire</t>
        </is>
      </c>
      <c r="H31" s="10" t="inlineStr"/>
    </row>
    <row r="32">
      <c r="A32" s="12" t="n"/>
      <c r="B32" s="3" t="n">
        <v>31</v>
      </c>
      <c r="C32" s="4" t="inlineStr">
        <is>
          <t>Technicien de garde</t>
        </is>
      </c>
      <c r="D32" s="5" t="inlineStr">
        <is>
          <t>1 technicien audiovisuel present pendant toute la soiree (18h-23h30). Numero d'urgence communique a l'equipe organisatrice.</t>
        </is>
      </c>
      <c r="E32" s="5" t="inlineStr">
        <is>
          <t>Marc Lefevre</t>
        </is>
      </c>
      <c r="F32" s="5" t="inlineStr">
        <is>
          <t>15 mai</t>
        </is>
      </c>
      <c r="G32" s="6" t="inlineStr">
        <is>
          <t>A faire</t>
        </is>
      </c>
      <c r="H32" s="5" t="inlineStr"/>
    </row>
  </sheetData>
  <autoFilter ref="A1:H32"/>
  <mergeCells count="5">
    <mergeCell ref="A16:A22"/>
    <mergeCell ref="A2:A9"/>
    <mergeCell ref="A10:A15"/>
    <mergeCell ref="A29:A32"/>
    <mergeCell ref="A23:A28"/>
  </mergeCells>
  <dataValidations count="1">
    <dataValidation sqref="G2:G32" showDropDown="0" showInputMessage="0" showErrorMessage="0" allowBlank="1" errorTitle="Statut invalide" error="Choisissez un statut valide" type="list">
      <formula1>"A faire,En cours,Termine,Bloque"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5" customWidth="1" min="5" max="5"/>
    <col width="35" customWidth="1" min="6" max="6"/>
  </cols>
  <sheetData>
    <row r="1">
      <c r="A1" s="1" t="inlineStr">
        <is>
          <t>Poste de depense</t>
        </is>
      </c>
      <c r="B1" s="1" t="inlineStr">
        <is>
          <t>Estimation basse (EUR)</t>
        </is>
      </c>
      <c r="C1" s="1" t="inlineStr">
        <is>
          <t>Estimation haute (EUR)</t>
        </is>
      </c>
      <c r="D1" s="1" t="inlineStr">
        <is>
          <t>Montant valide (EUR)</t>
        </is>
      </c>
      <c r="E1" s="1" t="inlineStr">
        <is>
          <t>Fournisseur retenu</t>
        </is>
      </c>
      <c r="F1" s="1" t="inlineStr">
        <is>
          <t>Commentaires</t>
        </is>
      </c>
    </row>
    <row r="2">
      <c r="A2" s="5" t="inlineStr">
        <is>
          <t>Traiteur (cocktail + buffet dinatoire)</t>
        </is>
      </c>
      <c r="B2" s="13" t="n">
        <v>6000</v>
      </c>
      <c r="C2" s="13" t="n">
        <v>8000</v>
      </c>
      <c r="D2" s="14" t="n"/>
      <c r="E2" s="5" t="n"/>
      <c r="F2" s="5" t="n"/>
    </row>
    <row r="3">
      <c r="A3" s="10" t="inlineStr">
        <is>
          <t>Location mobilier complementaire</t>
        </is>
      </c>
      <c r="B3" s="15" t="n">
        <v>1500</v>
      </c>
      <c r="C3" s="15" t="n">
        <v>2000</v>
      </c>
      <c r="D3" s="16" t="n"/>
      <c r="E3" s="10" t="n"/>
      <c r="F3" s="10" t="n"/>
    </row>
    <row r="4">
      <c r="A4" s="5" t="inlineStr">
        <is>
          <t>Technique (son / video / eclairage)</t>
        </is>
      </c>
      <c r="B4" s="13" t="n">
        <v>2500</v>
      </c>
      <c r="C4" s="13" t="n">
        <v>3000</v>
      </c>
      <c r="D4" s="14" t="n"/>
      <c r="E4" s="5" t="n"/>
      <c r="F4" s="5" t="n"/>
    </row>
    <row r="5">
      <c r="A5" s="10" t="inlineStr">
        <is>
          <t>DJ</t>
        </is>
      </c>
      <c r="B5" s="15" t="n">
        <v>800</v>
      </c>
      <c r="C5" s="15" t="n">
        <v>1200</v>
      </c>
      <c r="D5" s="16" t="n"/>
      <c r="E5" s="10" t="n"/>
      <c r="F5" s="10" t="n"/>
    </row>
    <row r="6">
      <c r="A6" s="5" t="inlineStr">
        <is>
          <t>Photographe / Videaste</t>
        </is>
      </c>
      <c r="B6" s="13" t="n">
        <v>1000</v>
      </c>
      <c r="C6" s="13" t="n">
        <v>1500</v>
      </c>
      <c r="D6" s="14" t="n"/>
      <c r="E6" s="5" t="n"/>
      <c r="F6" s="5" t="n"/>
    </row>
    <row r="7">
      <c r="A7" s="10" t="inlineStr">
        <is>
          <t>Decoration et signaletique</t>
        </is>
      </c>
      <c r="B7" s="15" t="n">
        <v>1500</v>
      </c>
      <c r="C7" s="15" t="n">
        <v>2000</v>
      </c>
      <c r="D7" s="16" t="n"/>
      <c r="E7" s="10" t="n"/>
      <c r="F7" s="10" t="n"/>
    </row>
    <row r="8">
      <c r="A8" s="5" t="inlineStr">
        <is>
          <t>Securite (agent SSIAP)</t>
        </is>
      </c>
      <c r="B8" s="13" t="n">
        <v>500</v>
      </c>
      <c r="C8" s="13" t="n">
        <v>800</v>
      </c>
      <c r="D8" s="14" t="n"/>
      <c r="E8" s="5" t="n"/>
      <c r="F8" s="5" t="n"/>
    </row>
    <row r="9">
      <c r="A9" s="10" t="inlineStr">
        <is>
          <t>Imprevus (marge 10%)</t>
        </is>
      </c>
      <c r="B9" s="15" t="n">
        <v>1500</v>
      </c>
      <c r="C9" s="15" t="n">
        <v>2000</v>
      </c>
      <c r="D9" s="16" t="n"/>
      <c r="E9" s="10" t="n"/>
      <c r="F9" s="10" t="n"/>
    </row>
    <row r="10">
      <c r="A10" s="17" t="inlineStr">
        <is>
          <t>TOTAL</t>
        </is>
      </c>
      <c r="B10" s="18">
        <f>SUM(B2:B9)</f>
        <v/>
      </c>
      <c r="C10" s="18">
        <f>SUM(C2:C9)</f>
        <v/>
      </c>
      <c r="D10" s="18">
        <f>SUM(D2:D9)</f>
        <v/>
      </c>
      <c r="E10" s="19" t="n"/>
      <c r="F10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2026-04-07T21:38:23Z</dcterms:created>
  <dcterms:modified xmlns:dcterms="http://purl.org/dc/terms/" xmlns:xsi="http://www.w3.org/2001/XMLSchema-instance" xsi:type="dcterms:W3CDTF">2026-04-07T21:38:23Z</dcterms:modified>
</cp:coreProperties>
</file>